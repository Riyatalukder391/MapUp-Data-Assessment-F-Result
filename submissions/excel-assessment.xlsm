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OneDrive\Desktop\"/>
    </mc:Choice>
  </mc:AlternateContent>
  <xr:revisionPtr revIDLastSave="0" documentId="8_{A47EAA0F-BE2A-4268-9E0F-551FEBF8C505}" xr6:coauthVersionLast="47" xr6:coauthVersionMax="47" xr10:uidLastSave="{00000000-0000-0000-0000-000000000000}"/>
  <bookViews>
    <workbookView xWindow="-110" yWindow="-110" windowWidth="19420" windowHeight="10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C5" i="15"/>
  <c r="C47" i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4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<sst xmlns="http://schemas.openxmlformats.org/spreadsheetml/2006/main" count="410" uniqueCount="187">
  <si>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</si>
  <si>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</si>
  <si>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</si>
  <si>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</si>
  <si>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</si>
  <si>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</si>
  <si>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</si>
  <si>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</si>
  <si>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</si>
  <si>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</si>
  <si>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</si>
  <si>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</si>
  <si>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</si>
  <si>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</si>
  <si>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</si>
  <si>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</si>
  <si>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</si>
  <si>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</si>
  <si>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</si>
  <si>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</si>
  <si>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</si>
  <si>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</si>
  <si>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</si>
  <si>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</si>
  <si>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</si>
  <si>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</si>
  <si>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</si>
  <si>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</si>
  <si>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</si>
  <si>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</si>
  <si>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</si>
  <si>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</si>
  <si>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</si>
  <si>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</si>
  <si>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</si>
  <si>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</si>
  <si>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</si>
  <si>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</si>
  <si>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</si>
  <si>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</si>
  <si>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</si>
  <si>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</si>
  <si>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</si>
  <si>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</si>
  <si>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</si>
  <si>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</si>
  <si>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</si>
  <si>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</si>
  <si>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</si>
  <si>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</si>
  <si>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</si>
  <si>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</si>
  <si>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</si>
  <si>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</si>
  <si>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</si>
  <si>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</si>
  <si>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</si>
  <si>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</si>
  <si>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</si>
  <si>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</si>
  <si>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</si>
  <si>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</si>
  <si>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</si>
  <si>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</si>
  <si>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</si>
  <si>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</si>
  <si>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</si>
  <si>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</si>
  <si>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</si>
  <si>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</si>
  <si>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</si>
  <si>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</si>
  <si>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</si>
  <si>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</si>
  <si>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</si>
  <si>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</si>
  <si>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</si>
  <si>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</si>
  <si>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</si>
  <si>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</si>
  <si>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</si>
  <si>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</si>
  <si>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</si>
  <si>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</si>
  <si>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</si>
  <si>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</si>
  <si>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</si>
  <si>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</si>
  <si>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</si>
  <si>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</si>
  <si>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</si>
  <si>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</si>
  <si>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</si>
  <si>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</si>
  <si>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</si>
  <si>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</si>
  <si>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</si>
  <si>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</si>
  <si>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</si>
  <si>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</si>
  <si>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</si>
  <si>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</si>
  <si>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</si>
  <si>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</si>
  <si>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</si>
  <si>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</si>
  <si>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</si>
  <si>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</si>
  <si>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</si>
  <si>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</si>
  <si>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</si>
  <si>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</si>
  <si>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</si>
  <si>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</si>
  <si>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</si>
  <si>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</si>
  <si>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</si>
  <si>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</si>
  <si>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</si>
  <si>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</si>
  <si>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</si>
  <si>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</si>
  <si>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</si>
  <si>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</si>
  <si>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</si>
  <si>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</si>
  <si>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</si>
  <si>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</si>
  <si>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</si>
  <si>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</si>
  <si>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</si>
  <si>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</si>
  <si>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</si>
  <si>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</si>
  <si>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</si>
  <si>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</si>
  <si>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</si>
  <si>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</si>
  <si>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</si>
  <si>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</si>
  <si>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</si>
  <si>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</si>
  <si>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</si>
  <si>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</si>
  <si>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</si>
  <si>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</si>
  <si>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</si>
  <si>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</si>
  <si>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</si>
  <si>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</si>
  <si>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</si>
  <si>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</si>
  <si>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</si>
  <si>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</si>
  <si>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</si>
  <si>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</si>
  <si>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</si>
  <si>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</si>
  <si>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</si>
  <si>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</si>
  <si>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</si>
  <si>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</si>
  <si>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</si>
  <si>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</si>
  <si>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</si>
  <si>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</si>
  <si>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</si>
  <si>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</si>
  <si>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</si>
  <si>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</si>
  <si>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</si>
  <si>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</si>
  <si>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</si>
  <si>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</si>
  <si>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</si>
  <si>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</si>
  <si>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`</t>
  </si>
  <si>
    <t>Here the Formula used: Text to Columns</t>
  </si>
  <si>
    <t>Explaination:</t>
  </si>
  <si>
    <t xml:space="preserve">First I have Seleced the column containing the values I want to split </t>
  </si>
  <si>
    <t>Then I selected Text to column in Data tab.</t>
  </si>
  <si>
    <t>In the "Convert Text to Columns Wizard," I choose "Delimited" and clicked"Next."</t>
  </si>
  <si>
    <t>Then choose the delimiter that separates the values is '-'</t>
  </si>
  <si>
    <t>Then I choose specify the destination cells where I want the split values to be placed (columns col_1, col_3, col_4, col_5, col_6)</t>
  </si>
  <si>
    <t>Then I clicked finish to complete the task.</t>
  </si>
  <si>
    <t>Here formula is used IF(ISNA(C12:C21), 20, C2:C11): This part of the formula checks if each value in the Sales column (C2:C11) is #N/A. If it is, it substitutes it with '20'; otherwise, it keeps the original value.
SUM(...): The SUM function then calculates the sum of the resulting array, giving the total sales.</t>
  </si>
  <si>
    <t>Here formula use Index match and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</si>
</sst>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\'yyyy/mm/dd\'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FFFFFF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7" borderId="0" xfId="0" applyFont="1" applyFill="1"/>
    <xf numFmtId="0" fontId="18" fillId="0" borderId="0" xfId="0" applyFont="1"/>
    <xf numFmtId="170" fontId="7" fillId="0" borderId="0" xfId="0" applyNumberFormat="1" applyFont="1"/>
    <xf numFmtId="170" fontId="3" fillId="0" borderId="0" xfId="0" applyNumberFormat="1" applyFont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4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8"/>
  <sheetViews>
    <sheetView zoomScaleNormal="100" workbookViewId="0">
      <pane ySplit="1" topLeftCell="A2" activePane="bottomLeft" state="frozen"/>
      <selection activeCell="B1" sqref="B1"/>
      <selection pane="bottomLeft" activeCell="C47" sqref="C47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5" t="s">
        <v>63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78</v>
      </c>
      <c r="H1" s="27" t="s">
        <v>64</v>
      </c>
      <c r="I1" s="27" t="s">
        <v>65</v>
      </c>
      <c r="J1" s="28" t="s">
        <v>66</v>
      </c>
      <c r="K1" s="28" t="s">
        <v>67</v>
      </c>
      <c r="L1" s="28" t="s">
        <v>68</v>
      </c>
      <c r="M1" s="27" t="s">
        <v>69</v>
      </c>
      <c r="N1" s="27" t="s">
        <v>70</v>
      </c>
      <c r="O1" s="27" t="s">
        <v>71</v>
      </c>
      <c r="P1" s="28" t="s">
        <v>72</v>
      </c>
      <c r="Q1" s="28" t="s">
        <v>73</v>
      </c>
      <c r="R1" s="28" t="s">
        <v>74</v>
      </c>
      <c r="S1" s="27" t="s">
        <v>79</v>
      </c>
      <c r="T1" s="27" t="s">
        <v>75</v>
      </c>
      <c r="U1" s="28" t="s">
        <v>80</v>
      </c>
      <c r="V1" s="28" t="s">
        <v>76</v>
      </c>
      <c r="W1" s="28" t="s">
        <v>77</v>
      </c>
      <c r="X1" s="46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43">
        <v>-1</v>
      </c>
      <c r="K2" s="43">
        <v>-1</v>
      </c>
      <c r="L2" s="4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43">
        <v>-1</v>
      </c>
      <c r="K3" s="43">
        <v>-1</v>
      </c>
      <c r="L3" s="4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43">
        <v>-1</v>
      </c>
      <c r="K4" s="43">
        <v>-1</v>
      </c>
      <c r="L4" s="4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43">
        <v>-1</v>
      </c>
      <c r="K5" s="43">
        <v>-1</v>
      </c>
      <c r="L5" s="4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43">
        <v>-1</v>
      </c>
      <c r="K6" s="43">
        <v>-1</v>
      </c>
      <c r="L6" s="4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43">
        <v>-1</v>
      </c>
      <c r="K7" s="43">
        <v>-1</v>
      </c>
      <c r="L7" s="4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43">
        <v>-1</v>
      </c>
      <c r="K8" s="43">
        <v>-1</v>
      </c>
      <c r="L8" s="4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43">
        <v>-1</v>
      </c>
      <c r="K9" s="43">
        <v>-1</v>
      </c>
      <c r="L9" s="4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43">
        <v>-1</v>
      </c>
      <c r="K10" s="43">
        <v>-1</v>
      </c>
      <c r="L10" s="4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43">
        <v>-1</v>
      </c>
      <c r="K11" s="43">
        <v>-1</v>
      </c>
      <c r="L11" s="4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43">
        <v>-1</v>
      </c>
      <c r="K13" s="43">
        <v>-1</v>
      </c>
      <c r="L13" s="4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43">
        <v>-1</v>
      </c>
      <c r="K14" s="43">
        <v>-1</v>
      </c>
      <c r="L14" s="4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43">
        <v>-1</v>
      </c>
      <c r="K15" s="43">
        <v>-1</v>
      </c>
      <c r="L15" s="4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43">
        <v>-1</v>
      </c>
      <c r="K16" s="43">
        <v>-1</v>
      </c>
      <c r="L16" s="4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43">
        <v>-1</v>
      </c>
      <c r="K17" s="43">
        <v>-1</v>
      </c>
      <c r="L17" s="4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43">
        <v>-1</v>
      </c>
      <c r="K18" s="43">
        <v>-1</v>
      </c>
      <c r="L18" s="4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43">
        <v>-1</v>
      </c>
      <c r="K19" s="43">
        <v>-1</v>
      </c>
      <c r="L19" s="4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43">
        <v>-1</v>
      </c>
      <c r="K20" s="43">
        <v>-1</v>
      </c>
      <c r="L20" s="4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43">
        <v>-1</v>
      </c>
      <c r="K21" s="43">
        <v>-1</v>
      </c>
      <c r="L21" s="4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43">
        <v>-1</v>
      </c>
      <c r="K22" s="43">
        <v>-1</v>
      </c>
      <c r="L22" s="4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43">
        <v>-1</v>
      </c>
      <c r="K23" s="43">
        <v>-1</v>
      </c>
      <c r="L23" s="4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43">
        <v>-1</v>
      </c>
      <c r="K24" s="43">
        <v>-1</v>
      </c>
      <c r="L24" s="4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43">
        <v>-1</v>
      </c>
      <c r="K25" s="43">
        <v>-1</v>
      </c>
      <c r="L25" s="4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7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43">
        <v>-1</v>
      </c>
      <c r="K27" s="43">
        <v>-1</v>
      </c>
      <c r="L27" s="4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43">
        <v>-1</v>
      </c>
      <c r="K28" s="43">
        <v>-1</v>
      </c>
      <c r="L28" s="4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43">
        <v>-1</v>
      </c>
      <c r="K29" s="43">
        <v>-1</v>
      </c>
      <c r="L29" s="4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43">
        <v>-1</v>
      </c>
      <c r="H30" s="43">
        <v>-1</v>
      </c>
      <c r="I30" s="43">
        <v>-1</v>
      </c>
      <c r="J30" s="43">
        <v>-1</v>
      </c>
      <c r="K30" s="43">
        <v>-1</v>
      </c>
      <c r="L30" s="43">
        <v>-1</v>
      </c>
      <c r="M30" s="43">
        <v>-1</v>
      </c>
      <c r="N30" s="43">
        <v>-1</v>
      </c>
      <c r="O30" s="43">
        <v>-1</v>
      </c>
      <c r="P30" s="43">
        <v>-1</v>
      </c>
      <c r="Q30" s="43">
        <v>-1</v>
      </c>
      <c r="R30" s="43">
        <v>-1</v>
      </c>
      <c r="S30" s="43">
        <v>-1</v>
      </c>
      <c r="T30" s="43">
        <v>-1</v>
      </c>
      <c r="U30" s="43">
        <v>-1</v>
      </c>
      <c r="V30" s="43">
        <v>-1</v>
      </c>
      <c r="W30" s="43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43">
        <v>-1</v>
      </c>
      <c r="K31" s="43">
        <v>-1</v>
      </c>
      <c r="L31" s="4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43">
        <v>-1</v>
      </c>
      <c r="H32" s="43">
        <v>-1</v>
      </c>
      <c r="I32" s="43">
        <v>-1</v>
      </c>
      <c r="J32" s="43">
        <v>-1</v>
      </c>
      <c r="K32" s="43">
        <v>-1</v>
      </c>
      <c r="L32" s="43">
        <v>-1</v>
      </c>
      <c r="M32" s="43">
        <v>-1</v>
      </c>
      <c r="N32" s="43">
        <v>-1</v>
      </c>
      <c r="O32" s="43">
        <v>-1</v>
      </c>
      <c r="P32" s="43">
        <v>-1</v>
      </c>
      <c r="Q32" s="43">
        <v>-1</v>
      </c>
      <c r="R32" s="43">
        <v>-1</v>
      </c>
      <c r="S32" s="43">
        <v>-1</v>
      </c>
      <c r="T32" s="43">
        <v>-1</v>
      </c>
      <c r="U32" s="43">
        <v>-1</v>
      </c>
      <c r="V32" s="43">
        <v>-1</v>
      </c>
      <c r="W32" s="43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43">
        <v>-1</v>
      </c>
      <c r="K33" s="43">
        <v>-1</v>
      </c>
      <c r="L33" s="4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43">
        <v>-1</v>
      </c>
      <c r="K34" s="43">
        <v>-1</v>
      </c>
      <c r="L34" s="4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43">
        <v>-1</v>
      </c>
      <c r="K35" s="43">
        <v>-1</v>
      </c>
      <c r="L35" s="4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43">
        <v>-1</v>
      </c>
      <c r="K36" s="43">
        <v>-1</v>
      </c>
      <c r="L36" s="4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43">
        <v>-1</v>
      </c>
      <c r="K37" s="43">
        <v>-1</v>
      </c>
      <c r="L37" s="4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43">
        <v>-1</v>
      </c>
      <c r="K38" s="43">
        <v>-1</v>
      </c>
      <c r="L38" s="4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43">
        <v>-1</v>
      </c>
      <c r="K39" s="43">
        <v>-1</v>
      </c>
      <c r="L39" s="4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43">
        <v>-1</v>
      </c>
      <c r="K40" s="43">
        <v>-1</v>
      </c>
      <c r="L40" s="4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7" spans="1:24" x14ac:dyDescent="0.35">
      <c r="C47" s="1">
        <f>SUMIF(H:H, "&gt;20")</f>
        <v>1473.0000000000002</v>
      </c>
    </row>
    <row r="48" spans="1:24" x14ac:dyDescent="0.35">
      <c r="C48" s="45">
        <f>SUMIF(H:H, 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176</v>
      </c>
      <c r="B1" s="4" t="s">
        <v>47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103</v>
      </c>
      <c r="C5" s="32">
        <f>SUMIF(Dataset!H2:H100, "&gt;20")</f>
        <v>1473.0000000000002</v>
      </c>
      <c r="E5" s="1">
        <v>10</v>
      </c>
    </row>
    <row r="6" spans="1:5" x14ac:dyDescent="0.35">
      <c r="A6" s="6">
        <v>4</v>
      </c>
      <c r="B6" s="2" t="s">
        <v>105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H25" sqref="H25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54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161</v>
      </c>
      <c r="B4" s="1"/>
      <c r="C4" s="1"/>
      <c r="D4" s="1"/>
      <c r="E4" s="1"/>
      <c r="F4" s="1"/>
      <c r="G4" s="1"/>
    </row>
    <row r="5" spans="1:7" ht="14.5" x14ac:dyDescent="0.35">
      <c r="A5" s="18" t="s">
        <v>63</v>
      </c>
      <c r="B5" s="19" t="s">
        <v>78</v>
      </c>
      <c r="C5" s="20" t="s">
        <v>70</v>
      </c>
      <c r="D5" s="19" t="s">
        <v>74</v>
      </c>
      <c r="E5" s="20" t="s">
        <v>75</v>
      </c>
      <c r="F5" s="21" t="s">
        <v>76</v>
      </c>
    </row>
    <row r="6" spans="1:7" ht="14.5" x14ac:dyDescent="0.35">
      <c r="A6" s="7" t="s">
        <v>40</v>
      </c>
      <c r="B6" s="11">
        <f>INDEX(Dataset!$B$2:$X$40,MATCH(Task_2!$A6,Dataset!$A$2:$A$40,0),MATCH(Task_2!B$5,Dataset!$B$1:$X$1,0))</f>
        <v>2.7</v>
      </c>
      <c r="C6" s="11">
        <f>INDEX(Dataset!$B$2:$X$40,MATCH(Task_2!$A6,Dataset!$A$2:$A$40,0),MATCH(Task_2!C$5,Dataset!$B$1:$X$1,0))</f>
        <v>7.6</v>
      </c>
      <c r="D6" s="11">
        <f>INDEX(Dataset!$B$2:$X$40,MATCH(Task_2!$A6,Dataset!$A$2:$A$40,0),MATCH(Task_2!D$5,Dataset!$B$1:$X$1,0))</f>
        <v>4.2</v>
      </c>
      <c r="E6" s="11">
        <f>INDEX(Dataset!$B$2:$X$40,MATCH(Task_2!$A6,Dataset!$A$2:$A$40,0),MATCH(Task_2!E$5,Dataset!$B$1:$X$1,0))</f>
        <v>8.9</v>
      </c>
      <c r="F6" s="11">
        <f>INDEX(Dataset!$B$2:$X$40,MATCH(Task_2!$A6,Dataset!$A$2:$A$40,0),MATCH(Task_2!F$5,Dataset!$B$1:$X$1,0))</f>
        <v>4.2</v>
      </c>
    </row>
    <row r="7" spans="1:7" ht="14.5" x14ac:dyDescent="0.35">
      <c r="A7" s="7" t="s">
        <v>4</v>
      </c>
      <c r="B7" s="11">
        <f>INDEX(Dataset!$B$2:$X$40,MATCH(Task_2!$A7,Dataset!$A$2:$A$40,0),MATCH(Task_2!B$5,Dataset!$B$1:$X$1,0))</f>
        <v>2.7</v>
      </c>
      <c r="C7" s="11">
        <f>INDEX(Dataset!$B$2:$X$40,MATCH(Task_2!$A7,Dataset!$A$2:$A$40,0),MATCH(Task_2!C$5,Dataset!$B$1:$X$1,0))</f>
        <v>7.6</v>
      </c>
      <c r="D7" s="11">
        <f>INDEX(Dataset!$B$2:$X$40,MATCH(Task_2!$A7,Dataset!$A$2:$A$40,0),MATCH(Task_2!D$5,Dataset!$B$1:$X$1,0))</f>
        <v>4.2</v>
      </c>
      <c r="E7" s="11">
        <f>INDEX(Dataset!$B$2:$X$40,MATCH(Task_2!$A7,Dataset!$A$2:$A$40,0),MATCH(Task_2!E$5,Dataset!$B$1:$X$1,0))</f>
        <v>8.9</v>
      </c>
      <c r="F7" s="11">
        <f>INDEX(Dataset!$B$2:$X$40,MATCH(Task_2!$A7,Dataset!$A$2:$A$40,0),MATCH(Task_2!F$5,Dataset!$B$1:$X$1,0))</f>
        <v>4.2</v>
      </c>
    </row>
    <row r="8" spans="1:7" ht="14.5" x14ac:dyDescent="0.35">
      <c r="A8" s="7" t="s">
        <v>7</v>
      </c>
      <c r="B8" s="11">
        <f>INDEX(Dataset!$B$2:$X$40,MATCH(Task_2!$A8,Dataset!$A$2:$A$40,0),MATCH(Task_2!B$5,Dataset!$B$1:$X$1,0))</f>
        <v>3.6</v>
      </c>
      <c r="C8" s="11">
        <f>INDEX(Dataset!$B$2:$X$40,MATCH(Task_2!$A8,Dataset!$A$2:$A$40,0),MATCH(Task_2!C$5,Dataset!$B$1:$X$1,0))</f>
        <v>11.1</v>
      </c>
      <c r="D8" s="11">
        <f>INDEX(Dataset!$B$2:$X$40,MATCH(Task_2!$A8,Dataset!$A$2:$A$40,0),MATCH(Task_2!D$5,Dataset!$B$1:$X$1,0))</f>
        <v>5.8</v>
      </c>
      <c r="E8" s="11">
        <f>INDEX(Dataset!$B$2:$X$40,MATCH(Task_2!$A8,Dataset!$A$2:$A$40,0),MATCH(Task_2!E$5,Dataset!$B$1:$X$1,0))</f>
        <v>12.2</v>
      </c>
      <c r="F8" s="11">
        <f>INDEX(Dataset!$B$2:$X$40,MATCH(Task_2!$A8,Dataset!$A$2:$A$40,0),MATCH(Task_2!F$5,Dataset!$B$1:$X$1,0))</f>
        <v>5.8</v>
      </c>
    </row>
    <row r="9" spans="1:7" ht="14.5" x14ac:dyDescent="0.35">
      <c r="A9" s="7" t="s">
        <v>8</v>
      </c>
      <c r="B9" s="11">
        <f>INDEX(Dataset!$B$2:$X$40,MATCH(Task_2!$A9,Dataset!$A$2:$A$40,0),MATCH(Task_2!B$5,Dataset!$B$1:$X$1,0))</f>
        <v>4.9000000000000004</v>
      </c>
      <c r="C9" s="11">
        <f>INDEX(Dataset!$B$2:$X$40,MATCH(Task_2!$A9,Dataset!$A$2:$A$40,0),MATCH(Task_2!C$5,Dataset!$B$1:$X$1,0))</f>
        <v>13.3</v>
      </c>
      <c r="D9" s="11">
        <f>INDEX(Dataset!$B$2:$X$40,MATCH(Task_2!$A9,Dataset!$A$2:$A$40,0),MATCH(Task_2!D$5,Dataset!$B$1:$X$1,0))</f>
        <v>8.1</v>
      </c>
      <c r="E9" s="11">
        <f>INDEX(Dataset!$B$2:$X$40,MATCH(Task_2!$A9,Dataset!$A$2:$A$40,0),MATCH(Task_2!E$5,Dataset!$B$1:$X$1,0))</f>
        <v>17</v>
      </c>
      <c r="F9" s="11">
        <f>INDEX(Dataset!$B$2:$X$40,MATCH(Task_2!$A9,Dataset!$A$2:$A$40,0),MATCH(Task_2!F$5,Dataset!$B$1:$X$1,0))</f>
        <v>8.1</v>
      </c>
    </row>
    <row r="10" spans="1:7" ht="14.5" x14ac:dyDescent="0.35">
      <c r="A10" s="7" t="s">
        <v>11</v>
      </c>
      <c r="B10" s="11">
        <f>INDEX(Dataset!$B$2:$X$40,MATCH(Task_2!$A10,Dataset!$A$2:$A$40,0),MATCH(Task_2!B$5,Dataset!$B$1:$X$1,0))</f>
        <v>9.4</v>
      </c>
      <c r="C10" s="11">
        <f>INDEX(Dataset!$B$2:$X$40,MATCH(Task_2!$A10,Dataset!$A$2:$A$40,0),MATCH(Task_2!C$5,Dataset!$B$1:$X$1,0))</f>
        <v>28.3</v>
      </c>
      <c r="D10" s="11">
        <f>INDEX(Dataset!$B$2:$X$40,MATCH(Task_2!$A10,Dataset!$A$2:$A$40,0),MATCH(Task_2!D$5,Dataset!$B$1:$X$1,0))</f>
        <v>16.100000000000001</v>
      </c>
      <c r="E10" s="11">
        <f>INDEX(Dataset!$B$2:$X$40,MATCH(Task_2!$A10,Dataset!$A$2:$A$40,0),MATCH(Task_2!E$5,Dataset!$B$1:$X$1,0))</f>
        <v>32.799999999999997</v>
      </c>
      <c r="F10" s="11">
        <f>INDEX(Dataset!$B$2:$X$40,MATCH(Task_2!$A10,Dataset!$A$2:$A$40,0),MATCH(Task_2!F$5,Dataset!$B$1:$X$1,0))</f>
        <v>16.100000000000001</v>
      </c>
    </row>
    <row r="11" spans="1:7" ht="14.5" x14ac:dyDescent="0.35">
      <c r="A11" s="7" t="s">
        <v>12</v>
      </c>
      <c r="B11" s="11">
        <f>INDEX(Dataset!$B$2:$X$40,MATCH(Task_2!$A11,Dataset!$A$2:$A$40,0),MATCH(Task_2!B$5,Dataset!$B$1:$X$1,0))</f>
        <v>11.6</v>
      </c>
      <c r="C11" s="11">
        <f>INDEX(Dataset!$B$2:$X$40,MATCH(Task_2!$A11,Dataset!$A$2:$A$40,0),MATCH(Task_2!C$5,Dataset!$B$1:$X$1,0))</f>
        <v>35.200000000000003</v>
      </c>
      <c r="D11" s="11">
        <f>INDEX(Dataset!$B$2:$X$40,MATCH(Task_2!$A11,Dataset!$A$2:$A$40,0),MATCH(Task_2!D$5,Dataset!$B$1:$X$1,0))</f>
        <v>21.3</v>
      </c>
      <c r="E11" s="11">
        <f>INDEX(Dataset!$B$2:$X$40,MATCH(Task_2!$A11,Dataset!$A$2:$A$40,0),MATCH(Task_2!E$5,Dataset!$B$1:$X$1,0))</f>
        <v>43</v>
      </c>
      <c r="F11" s="11">
        <f>INDEX(Dataset!$B$2:$X$40,MATCH(Task_2!$A11,Dataset!$A$2:$A$40,0),MATCH(Task_2!F$5,Dataset!$B$1:$X$1,0))</f>
        <v>21.3</v>
      </c>
    </row>
    <row r="12" spans="1:7" ht="14.5" x14ac:dyDescent="0.35">
      <c r="A12" s="7" t="s">
        <v>14</v>
      </c>
      <c r="B12" s="11">
        <f>INDEX(Dataset!$B$2:$X$40,MATCH(Task_2!$A12,Dataset!$A$2:$A$40,0),MATCH(Task_2!B$5,Dataset!$B$1:$X$1,0))</f>
        <v>18.399999999999999</v>
      </c>
      <c r="C12" s="11">
        <f>INDEX(Dataset!$B$2:$X$40,MATCH(Task_2!$A12,Dataset!$A$2:$A$40,0),MATCH(Task_2!C$5,Dataset!$B$1:$X$1,0))</f>
        <v>55.6</v>
      </c>
      <c r="D12" s="11">
        <f>INDEX(Dataset!$B$2:$X$40,MATCH(Task_2!$A12,Dataset!$A$2:$A$40,0),MATCH(Task_2!D$5,Dataset!$B$1:$X$1,0))</f>
        <v>33.799999999999997</v>
      </c>
      <c r="E12" s="11">
        <f>INDEX(Dataset!$B$2:$X$40,MATCH(Task_2!$A12,Dataset!$A$2:$A$40,0),MATCH(Task_2!E$5,Dataset!$B$1:$X$1,0))</f>
        <v>67.900000000000006</v>
      </c>
      <c r="F12" s="11">
        <f>INDEX(Dataset!$B$2:$X$40,MATCH(Task_2!$A12,Dataset!$A$2:$A$40,0),MATCH(Task_2!F$5,Dataset!$B$1:$X$1,0))</f>
        <v>33.799999999999997</v>
      </c>
    </row>
    <row r="13" spans="1:7" ht="14.5" x14ac:dyDescent="0.35">
      <c r="A13" s="7" t="s">
        <v>15</v>
      </c>
      <c r="B13" s="11">
        <f>INDEX(Dataset!$B$2:$X$40,MATCH(Task_2!$A13,Dataset!$A$2:$A$40,0),MATCH(Task_2!B$5,Dataset!$B$1:$X$1,0))</f>
        <v>0</v>
      </c>
      <c r="C13" s="11">
        <f>INDEX(Dataset!$B$2:$X$40,MATCH(Task_2!$A13,Dataset!$A$2:$A$40,0),MATCH(Task_2!C$5,Dataset!$B$1:$X$1,0))</f>
        <v>0</v>
      </c>
      <c r="D13" s="11">
        <f>INDEX(Dataset!$B$2:$X$40,MATCH(Task_2!$A13,Dataset!$A$2:$A$40,0),MATCH(Task_2!D$5,Dataset!$B$1:$X$1,0))</f>
        <v>0</v>
      </c>
      <c r="E13" s="11">
        <f>INDEX(Dataset!$B$2:$X$40,MATCH(Task_2!$A13,Dataset!$A$2:$A$40,0),MATCH(Task_2!E$5,Dataset!$B$1:$X$1,0))</f>
        <v>0</v>
      </c>
      <c r="F13" s="11">
        <f>INDEX(Dataset!$B$2:$X$40,MATCH(Task_2!$A13,Dataset!$A$2:$A$40,0),MATCH(Task_2!F$5,Dataset!$B$1:$X$1,0))</f>
        <v>0</v>
      </c>
    </row>
    <row r="14" spans="1:7" ht="14.5" x14ac:dyDescent="0.35">
      <c r="A14" s="7" t="s">
        <v>16</v>
      </c>
      <c r="B14" s="11">
        <f>INDEX(Dataset!$B$2:$X$40,MATCH(Task_2!$A14,Dataset!$A$2:$A$40,0),MATCH(Task_2!B$5,Dataset!$B$1:$X$1,0))</f>
        <v>21.9</v>
      </c>
      <c r="C14" s="11">
        <f>INDEX(Dataset!$B$2:$X$40,MATCH(Task_2!$A14,Dataset!$A$2:$A$40,0),MATCH(Task_2!C$5,Dataset!$B$1:$X$1,0))</f>
        <v>61.5</v>
      </c>
      <c r="D14" s="11">
        <f>INDEX(Dataset!$B$2:$X$40,MATCH(Task_2!$A14,Dataset!$A$2:$A$40,0),MATCH(Task_2!D$5,Dataset!$B$1:$X$1,0))</f>
        <v>40.1</v>
      </c>
      <c r="E14" s="11">
        <f>INDEX(Dataset!$B$2:$X$40,MATCH(Task_2!$A14,Dataset!$A$2:$A$40,0),MATCH(Task_2!E$5,Dataset!$B$1:$X$1,0))</f>
        <v>76.599999999999994</v>
      </c>
      <c r="F14" s="11">
        <f>INDEX(Dataset!$B$2:$X$40,MATCH(Task_2!$A14,Dataset!$A$2:$A$40,0),MATCH(Task_2!F$5,Dataset!$B$1:$X$1,0))</f>
        <v>40.1</v>
      </c>
    </row>
    <row r="15" spans="1:7" ht="14.5" x14ac:dyDescent="0.35">
      <c r="A15" s="7" t="s">
        <v>18</v>
      </c>
      <c r="B15" s="11">
        <f>INDEX(Dataset!$B$2:$X$40,MATCH(Task_2!$A15,Dataset!$A$2:$A$40,0),MATCH(Task_2!B$5,Dataset!$B$1:$X$1,0))</f>
        <v>26.8</v>
      </c>
      <c r="C15" s="11">
        <f>INDEX(Dataset!$B$2:$X$40,MATCH(Task_2!$A15,Dataset!$A$2:$A$40,0),MATCH(Task_2!C$5,Dataset!$B$1:$X$1,0))</f>
        <v>79.599999999999994</v>
      </c>
      <c r="D15" s="11">
        <f>INDEX(Dataset!$B$2:$X$40,MATCH(Task_2!$A15,Dataset!$A$2:$A$40,0),MATCH(Task_2!D$5,Dataset!$B$1:$X$1,0))</f>
        <v>47.9</v>
      </c>
      <c r="E15" s="11">
        <f>INDEX(Dataset!$B$2:$X$40,MATCH(Task_2!$A15,Dataset!$A$2:$A$40,0),MATCH(Task_2!E$5,Dataset!$B$1:$X$1,0))</f>
        <v>96.8</v>
      </c>
      <c r="F15" s="11">
        <f>INDEX(Dataset!$B$2:$X$40,MATCH(Task_2!$A15,Dataset!$A$2:$A$40,0),MATCH(Task_2!F$5,Dataset!$B$1:$X$1,0))</f>
        <v>47.9</v>
      </c>
    </row>
    <row r="16" spans="1:7" ht="14.5" x14ac:dyDescent="0.35">
      <c r="A16" s="7" t="s">
        <v>20</v>
      </c>
      <c r="B16" s="11">
        <f>INDEX(Dataset!$B$2:$X$40,MATCH(Task_2!$A16,Dataset!$A$2:$A$40,0),MATCH(Task_2!B$5,Dataset!$B$1:$X$1,0))</f>
        <v>28.5</v>
      </c>
      <c r="C16" s="11">
        <f>INDEX(Dataset!$B$2:$X$40,MATCH(Task_2!$A16,Dataset!$A$2:$A$40,0),MATCH(Task_2!C$5,Dataset!$B$1:$X$1,0))</f>
        <v>85.4</v>
      </c>
      <c r="D16" s="11">
        <f>INDEX(Dataset!$B$2:$X$40,MATCH(Task_2!$A16,Dataset!$A$2:$A$40,0),MATCH(Task_2!D$5,Dataset!$B$1:$X$1,0))</f>
        <v>52.3</v>
      </c>
      <c r="E16" s="11">
        <f>INDEX(Dataset!$B$2:$X$40,MATCH(Task_2!$A16,Dataset!$A$2:$A$40,0),MATCH(Task_2!E$5,Dataset!$B$1:$X$1,0))</f>
        <v>106.1</v>
      </c>
      <c r="F16" s="11">
        <f>INDEX(Dataset!$B$2:$X$40,MATCH(Task_2!$A16,Dataset!$A$2:$A$40,0),MATCH(Task_2!F$5,Dataset!$B$1:$X$1,0))</f>
        <v>52.3</v>
      </c>
    </row>
    <row r="17" spans="1:6" ht="14.5" x14ac:dyDescent="0.35">
      <c r="A17" s="7" t="s">
        <v>22</v>
      </c>
      <c r="B17" s="11">
        <f>INDEX(Dataset!$B$2:$X$40,MATCH(Task_2!$A17,Dataset!$A$2:$A$40,0),MATCH(Task_2!B$5,Dataset!$B$1:$X$1,0))</f>
        <v>30.7</v>
      </c>
      <c r="C17" s="11">
        <f>INDEX(Dataset!$B$2:$X$40,MATCH(Task_2!$A17,Dataset!$A$2:$A$40,0),MATCH(Task_2!C$5,Dataset!$B$1:$X$1,0))</f>
        <v>92.1</v>
      </c>
      <c r="D17" s="11">
        <f>INDEX(Dataset!$B$2:$X$40,MATCH(Task_2!$A17,Dataset!$A$2:$A$40,0),MATCH(Task_2!D$5,Dataset!$B$1:$X$1,0))</f>
        <v>57</v>
      </c>
      <c r="E17" s="11">
        <f>INDEX(Dataset!$B$2:$X$40,MATCH(Task_2!$A17,Dataset!$A$2:$A$40,0),MATCH(Task_2!E$5,Dataset!$B$1:$X$1,0))</f>
        <v>115.1</v>
      </c>
      <c r="F17" s="11">
        <f>INDEX(Dataset!$B$2:$X$40,MATCH(Task_2!$A17,Dataset!$A$2:$A$40,0),MATCH(Task_2!F$5,Dataset!$B$1:$X$1,0))</f>
        <v>57</v>
      </c>
    </row>
    <row r="18" spans="1:6" ht="14.5" x14ac:dyDescent="0.35">
      <c r="A18" s="7" t="s">
        <v>23</v>
      </c>
      <c r="B18" s="11">
        <f>INDEX(Dataset!$B$2:$X$40,MATCH(Task_2!$A18,Dataset!$A$2:$A$40,0),MATCH(Task_2!B$5,Dataset!$B$1:$X$1,0))</f>
        <v>33.799999999999997</v>
      </c>
      <c r="C18" s="11">
        <f>INDEX(Dataset!$B$2:$X$40,MATCH(Task_2!$A18,Dataset!$A$2:$A$40,0),MATCH(Task_2!C$5,Dataset!$B$1:$X$1,0))</f>
        <v>101.3</v>
      </c>
      <c r="D18" s="11">
        <f>INDEX(Dataset!$B$2:$X$40,MATCH(Task_2!$A18,Dataset!$A$2:$A$40,0),MATCH(Task_2!D$5,Dataset!$B$1:$X$1,0))</f>
        <v>61.4</v>
      </c>
      <c r="E18" s="11">
        <f>INDEX(Dataset!$B$2:$X$40,MATCH(Task_2!$A18,Dataset!$A$2:$A$40,0),MATCH(Task_2!E$5,Dataset!$B$1:$X$1,0))</f>
        <v>124.4</v>
      </c>
      <c r="F18" s="11">
        <f>INDEX(Dataset!$B$2:$X$40,MATCH(Task_2!$A18,Dataset!$A$2:$A$40,0),MATCH(Task_2!F$5,Dataset!$B$1:$X$1,0))</f>
        <v>61.4</v>
      </c>
    </row>
    <row r="19" spans="1:6" ht="14.5" x14ac:dyDescent="0.35">
      <c r="A19" s="7" t="s">
        <v>24</v>
      </c>
      <c r="B19" s="11">
        <f>INDEX(Dataset!$B$2:$X$40,MATCH(Task_2!$A19,Dataset!$A$2:$A$40,0),MATCH(Task_2!B$5,Dataset!$B$1:$X$1,0))</f>
        <v>34.700000000000003</v>
      </c>
      <c r="C19" s="11">
        <f>INDEX(Dataset!$B$2:$X$40,MATCH(Task_2!$A19,Dataset!$A$2:$A$40,0),MATCH(Task_2!C$5,Dataset!$B$1:$X$1,0))</f>
        <v>106.1</v>
      </c>
      <c r="D19" s="11">
        <f>INDEX(Dataset!$B$2:$X$40,MATCH(Task_2!$A19,Dataset!$A$2:$A$40,0),MATCH(Task_2!D$5,Dataset!$B$1:$X$1,0))</f>
        <v>63.6</v>
      </c>
      <c r="E19" s="11">
        <f>INDEX(Dataset!$B$2:$X$40,MATCH(Task_2!$A19,Dataset!$A$2:$A$40,0),MATCH(Task_2!E$5,Dataset!$B$1:$X$1,0))</f>
        <v>128.6</v>
      </c>
      <c r="F19" s="11">
        <f>INDEX(Dataset!$B$2:$X$40,MATCH(Task_2!$A19,Dataset!$A$2:$A$40,0),MATCH(Task_2!F$5,Dataset!$B$1:$X$1,0))</f>
        <v>63.6</v>
      </c>
    </row>
    <row r="20" spans="1:6" ht="14.5" x14ac:dyDescent="0.35">
      <c r="A20" s="7" t="s">
        <v>28</v>
      </c>
      <c r="B20" s="11">
        <f>INDEX(Dataset!$B$2:$X$40,MATCH(Task_2!$A20,Dataset!$A$2:$A$40,0),MATCH(Task_2!B$5,Dataset!$B$1:$X$1,0))</f>
        <v>0</v>
      </c>
      <c r="C20" s="11">
        <f>INDEX(Dataset!$B$2:$X$40,MATCH(Task_2!$A20,Dataset!$A$2:$A$40,0),MATCH(Task_2!C$5,Dataset!$B$1:$X$1,0))</f>
        <v>0</v>
      </c>
      <c r="D20" s="11">
        <f>INDEX(Dataset!$B$2:$X$40,MATCH(Task_2!$A20,Dataset!$A$2:$A$40,0),MATCH(Task_2!D$5,Dataset!$B$1:$X$1,0))</f>
        <v>0</v>
      </c>
      <c r="E20" s="11">
        <f>INDEX(Dataset!$B$2:$X$40,MATCH(Task_2!$A20,Dataset!$A$2:$A$40,0),MATCH(Task_2!E$5,Dataset!$B$1:$X$1,0))</f>
        <v>0</v>
      </c>
      <c r="F20" s="11">
        <f>INDEX(Dataset!$B$2:$X$40,MATCH(Task_2!$A20,Dataset!$A$2:$A$40,0),MATCH(Task_2!F$5,Dataset!$B$1:$X$1,0))</f>
        <v>0</v>
      </c>
    </row>
    <row r="21" spans="1:6" ht="14.5" x14ac:dyDescent="0.35">
      <c r="A21" s="7" t="s">
        <v>56</v>
      </c>
      <c r="B21" s="11">
        <f>INDEX(Dataset!$B$2:$X$40,MATCH(Task_2!$A21,Dataset!$A$2:$A$40,0),MATCH(Task_2!B$5,Dataset!$B$1:$X$1,0))</f>
        <v>41.3</v>
      </c>
      <c r="C21" s="11">
        <f>INDEX(Dataset!$B$2:$X$40,MATCH(Task_2!$A21,Dataset!$A$2:$A$40,0),MATCH(Task_2!C$5,Dataset!$B$1:$X$1,0))</f>
        <v>124.4</v>
      </c>
      <c r="D21" s="11">
        <f>INDEX(Dataset!$B$2:$X$40,MATCH(Task_2!$A21,Dataset!$A$2:$A$40,0),MATCH(Task_2!D$5,Dataset!$B$1:$X$1,0))</f>
        <v>75</v>
      </c>
      <c r="E21" s="11">
        <f>INDEX(Dataset!$B$2:$X$40,MATCH(Task_2!$A21,Dataset!$A$2:$A$40,0),MATCH(Task_2!E$5,Dataset!$B$1:$X$1,0))</f>
        <v>151.5</v>
      </c>
      <c r="F21" s="11">
        <f>INDEX(Dataset!$B$2:$X$40,MATCH(Task_2!$A21,Dataset!$A$2:$A$40,0),MATCH(Task_2!F$5,Dataset!$B$1:$X$1,0))</f>
        <v>75</v>
      </c>
    </row>
    <row r="22" spans="1:6" ht="14.5" x14ac:dyDescent="0.35">
      <c r="A22" s="7" t="s">
        <v>57</v>
      </c>
      <c r="B22" s="11">
        <f>INDEX(Dataset!$B$2:$X$40,MATCH(Task_2!$A22,Dataset!$A$2:$A$40,0),MATCH(Task_2!B$5,Dataset!$B$1:$X$1,0))</f>
        <v>-1</v>
      </c>
      <c r="C22" s="11">
        <f>INDEX(Dataset!$B$2:$X$40,MATCH(Task_2!$A22,Dataset!$A$2:$A$40,0),MATCH(Task_2!C$5,Dataset!$B$1:$X$1,0))</f>
        <v>-1</v>
      </c>
      <c r="D22" s="11">
        <f>INDEX(Dataset!$B$2:$X$40,MATCH(Task_2!$A22,Dataset!$A$2:$A$40,0),MATCH(Task_2!D$5,Dataset!$B$1:$X$1,0))</f>
        <v>-1</v>
      </c>
      <c r="E22" s="11">
        <f>INDEX(Dataset!$B$2:$X$40,MATCH(Task_2!$A22,Dataset!$A$2:$A$40,0),MATCH(Task_2!E$5,Dataset!$B$1:$X$1,0))</f>
        <v>-1</v>
      </c>
      <c r="F22" s="11">
        <f>INDEX(Dataset!$B$2:$X$40,MATCH(Task_2!$A22,Dataset!$A$2:$A$40,0),MATCH(Task_2!F$5,Dataset!$B$1:$X$1,0))</f>
        <v>-1</v>
      </c>
    </row>
    <row r="23" spans="1:6" ht="14.5" x14ac:dyDescent="0.35">
      <c r="A23" s="7" t="s">
        <v>31</v>
      </c>
      <c r="B23" s="11">
        <f>INDEX(Dataset!$B$2:$X$40,MATCH(Task_2!$A23,Dataset!$A$2:$A$40,0),MATCH(Task_2!B$5,Dataset!$B$1:$X$1,0))</f>
        <v>45</v>
      </c>
      <c r="C23" s="11">
        <f>INDEX(Dataset!$B$2:$X$40,MATCH(Task_2!$A23,Dataset!$A$2:$A$40,0),MATCH(Task_2!C$5,Dataset!$B$1:$X$1,0))</f>
        <v>133.4</v>
      </c>
      <c r="D23" s="11">
        <f>INDEX(Dataset!$B$2:$X$40,MATCH(Task_2!$A23,Dataset!$A$2:$A$40,0),MATCH(Task_2!D$5,Dataset!$B$1:$X$1,0))</f>
        <v>79.400000000000006</v>
      </c>
      <c r="E23" s="11">
        <f>INDEX(Dataset!$B$2:$X$40,MATCH(Task_2!$A23,Dataset!$A$2:$A$40,0),MATCH(Task_2!E$5,Dataset!$B$1:$X$1,0))</f>
        <v>160.9</v>
      </c>
      <c r="F23" s="11">
        <f>INDEX(Dataset!$B$2:$X$40,MATCH(Task_2!$A23,Dataset!$A$2:$A$40,0),MATCH(Task_2!F$5,Dataset!$B$1:$X$1,0))</f>
        <v>79.400000000000006</v>
      </c>
    </row>
    <row r="24" spans="1:6" ht="14.5" x14ac:dyDescent="0.35">
      <c r="A24" s="7" t="s">
        <v>32</v>
      </c>
      <c r="B24" s="11">
        <f>INDEX(Dataset!$B$2:$X$40,MATCH(Task_2!$A24,Dataset!$A$2:$A$40,0),MATCH(Task_2!B$5,Dataset!$B$1:$X$1,0))</f>
        <v>-1</v>
      </c>
      <c r="C24" s="11">
        <f>INDEX(Dataset!$B$2:$X$40,MATCH(Task_2!$A24,Dataset!$A$2:$A$40,0),MATCH(Task_2!C$5,Dataset!$B$1:$X$1,0))</f>
        <v>-1</v>
      </c>
      <c r="D24" s="11">
        <f>INDEX(Dataset!$B$2:$X$40,MATCH(Task_2!$A24,Dataset!$A$2:$A$40,0),MATCH(Task_2!D$5,Dataset!$B$1:$X$1,0))</f>
        <v>-1</v>
      </c>
      <c r="E24" s="11">
        <f>INDEX(Dataset!$B$2:$X$40,MATCH(Task_2!$A24,Dataset!$A$2:$A$40,0),MATCH(Task_2!E$5,Dataset!$B$1:$X$1,0))</f>
        <v>-1</v>
      </c>
      <c r="F24" s="11">
        <f>INDEX(Dataset!$B$2:$X$40,MATCH(Task_2!$A24,Dataset!$A$2:$A$40,0),MATCH(Task_2!F$5,Dataset!$B$1:$X$1,0))</f>
        <v>-1</v>
      </c>
    </row>
    <row r="25" spans="1:6" ht="14.5" x14ac:dyDescent="0.35">
      <c r="A25" s="7" t="s">
        <v>34</v>
      </c>
      <c r="B25" s="11">
        <f>INDEX(Dataset!$B$2:$X$40,MATCH(Task_2!$A25,Dataset!$A$2:$A$40,0),MATCH(Task_2!B$5,Dataset!$B$1:$X$1,0))</f>
        <v>43.3</v>
      </c>
      <c r="C25" s="11">
        <f>INDEX(Dataset!$B$2:$X$40,MATCH(Task_2!$A25,Dataset!$A$2:$A$40,0),MATCH(Task_2!C$5,Dataset!$B$1:$X$1,0))</f>
        <v>128.6</v>
      </c>
      <c r="D25" s="11">
        <f>INDEX(Dataset!$B$2:$X$40,MATCH(Task_2!$A25,Dataset!$A$2:$A$40,0),MATCH(Task_2!D$5,Dataset!$B$1:$X$1,0))</f>
        <v>79.400000000000006</v>
      </c>
      <c r="E25" s="11">
        <f>INDEX(Dataset!$B$2:$X$40,MATCH(Task_2!$A25,Dataset!$A$2:$A$40,0),MATCH(Task_2!E$5,Dataset!$B$1:$X$1,0))</f>
        <v>160.9</v>
      </c>
      <c r="F25" s="11">
        <f>INDEX(Dataset!$B$2:$X$40,MATCH(Task_2!$A25,Dataset!$A$2:$A$40,0),MATCH(Task_2!F$5,Dataset!$B$1:$X$1,0))</f>
        <v>79.400000000000006</v>
      </c>
    </row>
    <row r="26" spans="1:6" ht="14.5" x14ac:dyDescent="0.35">
      <c r="A26" s="7" t="s">
        <v>37</v>
      </c>
      <c r="B26" s="11">
        <f>INDEX(Dataset!$B$2:$X$40,MATCH(Task_2!$A26,Dataset!$A$2:$A$40,0),MATCH(Task_2!B$5,Dataset!$B$1:$X$1,0))</f>
        <v>49.1</v>
      </c>
      <c r="C26" s="11">
        <f>INDEX(Dataset!$B$2:$X$40,MATCH(Task_2!$A26,Dataset!$A$2:$A$40,0),MATCH(Task_2!C$5,Dataset!$B$1:$X$1,0))</f>
        <v>146.80000000000001</v>
      </c>
      <c r="D26" s="11">
        <f>INDEX(Dataset!$B$2:$X$40,MATCH(Task_2!$A26,Dataset!$A$2:$A$40,0),MATCH(Task_2!D$5,Dataset!$B$1:$X$1,0))</f>
        <v>90.9</v>
      </c>
      <c r="E26" s="11">
        <f>INDEX(Dataset!$B$2:$X$40,MATCH(Task_2!$A26,Dataset!$A$2:$A$40,0),MATCH(Task_2!E$5,Dataset!$B$1:$X$1,0))</f>
        <v>183.5</v>
      </c>
      <c r="F26" s="11">
        <f>INDEX(Dataset!$B$2:$X$40,MATCH(Task_2!$A26,Dataset!$A$2:$A$40,0),MATCH(Task_2!F$5,Dataset!$B$1:$X$1,0))</f>
        <v>90.9</v>
      </c>
    </row>
    <row r="27" spans="1:6" ht="14.5" x14ac:dyDescent="0.35">
      <c r="A27" s="7" t="s">
        <v>39</v>
      </c>
      <c r="B27" s="11">
        <f>INDEX(Dataset!$B$2:$X$40,MATCH(Task_2!$A27,Dataset!$A$2:$A$40,0),MATCH(Task_2!B$5,Dataset!$B$1:$X$1,0))</f>
        <v>51.8</v>
      </c>
      <c r="C27" s="11">
        <f>INDEX(Dataset!$B$2:$X$40,MATCH(Task_2!$A27,Dataset!$A$2:$A$40,0),MATCH(Task_2!C$5,Dataset!$B$1:$X$1,0))</f>
        <v>156.4</v>
      </c>
      <c r="D27" s="11">
        <f>INDEX(Dataset!$B$2:$X$40,MATCH(Task_2!$A27,Dataset!$A$2:$A$40,0),MATCH(Task_2!D$5,Dataset!$B$1:$X$1,0))</f>
        <v>93.1</v>
      </c>
      <c r="E27" s="11">
        <f>INDEX(Dataset!$B$2:$X$40,MATCH(Task_2!$A27,Dataset!$A$2:$A$40,0),MATCH(Task_2!E$5,Dataset!$B$1:$X$1,0))</f>
        <v>188.1</v>
      </c>
      <c r="F27" s="11">
        <f>INDEX(Dataset!$B$2:$X$40,MATCH(Task_2!$A27,Dataset!$A$2:$A$40,0),MATCH(Task_2!F$5,Dataset!$B$1:$X$1,0))</f>
        <v>93.1</v>
      </c>
    </row>
    <row r="28" spans="1:6" ht="14.5" x14ac:dyDescent="0.35">
      <c r="A28" s="17" t="s">
        <v>81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5" x14ac:dyDescent="0.35">
      <c r="A29" s="17" t="s">
        <v>82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5" x14ac:dyDescent="0.35">
      <c r="A30" s="17" t="s">
        <v>83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65"/>
  <sheetViews>
    <sheetView topLeftCell="A22" zoomScaleNormal="100" workbookViewId="0">
      <selection activeCell="A66" sqref="A6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55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52</v>
      </c>
      <c r="B5" s="38"/>
    </row>
    <row r="6" spans="1:10" ht="18.5" x14ac:dyDescent="0.45">
      <c r="A6" s="41" t="s">
        <v>152</v>
      </c>
      <c r="B6" s="38"/>
    </row>
    <row r="7" spans="1:10" ht="18.5" x14ac:dyDescent="0.45">
      <c r="A7" s="41"/>
      <c r="B7" s="38"/>
    </row>
    <row r="9" spans="1:10" ht="23.5" x14ac:dyDescent="0.55000000000000004">
      <c r="A9" s="16" t="s">
        <v>164</v>
      </c>
      <c r="I9" s="2"/>
      <c r="J9" s="2"/>
    </row>
    <row r="10" spans="1:10" x14ac:dyDescent="0.35">
      <c r="A10" s="31" t="s">
        <v>101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53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6" t="s">
        <v>161</v>
      </c>
    </row>
    <row r="15" spans="1:10" x14ac:dyDescent="0.35">
      <c r="A15" s="13" t="s">
        <v>102</v>
      </c>
      <c r="B15" s="15" t="s">
        <v>48</v>
      </c>
      <c r="C15" s="15" t="s">
        <v>49</v>
      </c>
      <c r="D15" s="15" t="s">
        <v>50</v>
      </c>
      <c r="E15" s="15" t="s">
        <v>51</v>
      </c>
      <c r="F15" s="15" t="s">
        <v>53</v>
      </c>
    </row>
    <row r="16" spans="1:10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  <row r="58" spans="1:6" x14ac:dyDescent="0.35">
      <c r="A58" s="1" t="s">
        <v>177</v>
      </c>
    </row>
    <row r="59" spans="1:6" x14ac:dyDescent="0.35">
      <c r="A59" s="1" t="s">
        <v>178</v>
      </c>
    </row>
    <row r="60" spans="1:6" x14ac:dyDescent="0.35">
      <c r="A60" s="1" t="s">
        <v>179</v>
      </c>
    </row>
    <row r="61" spans="1:6" x14ac:dyDescent="0.35">
      <c r="A61" s="1" t="s">
        <v>180</v>
      </c>
    </row>
    <row r="62" spans="1:6" x14ac:dyDescent="0.35">
      <c r="A62" s="1" t="s">
        <v>181</v>
      </c>
    </row>
    <row r="63" spans="1:6" x14ac:dyDescent="0.35">
      <c r="A63" s="1" t="s">
        <v>182</v>
      </c>
    </row>
    <row r="64" spans="1:6" x14ac:dyDescent="0.35">
      <c r="A64" s="1" t="s">
        <v>183</v>
      </c>
    </row>
    <row r="65" spans="1:1" x14ac:dyDescent="0.35">
      <c r="A65" s="1" t="s">
        <v>184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4"/>
  <sheetViews>
    <sheetView topLeftCell="A2" zoomScaleNormal="100" workbookViewId="0">
      <selection activeCell="A24" sqref="A24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84</v>
      </c>
      <c r="B1" s="39" t="s">
        <v>166</v>
      </c>
    </row>
    <row r="2" spans="1:3" ht="18.5" x14ac:dyDescent="0.45">
      <c r="B2" s="38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52</v>
      </c>
      <c r="B6" s="1"/>
    </row>
    <row r="7" spans="1:3" ht="14.5" x14ac:dyDescent="0.35">
      <c r="A7" s="3" t="s">
        <v>152</v>
      </c>
      <c r="B7" s="1"/>
    </row>
    <row r="10" spans="1:3" ht="23.5" x14ac:dyDescent="0.55000000000000004">
      <c r="A10" s="16" t="s">
        <v>161</v>
      </c>
    </row>
    <row r="11" spans="1:3" ht="14.5" x14ac:dyDescent="0.35">
      <c r="A11" s="30" t="s">
        <v>85</v>
      </c>
      <c r="B11" s="15" t="s">
        <v>86</v>
      </c>
      <c r="C11" s="15" t="s">
        <v>87</v>
      </c>
    </row>
    <row r="12" spans="1:3" ht="14.5" x14ac:dyDescent="0.35">
      <c r="A12" s="30">
        <v>44927</v>
      </c>
      <c r="B12" s="15" t="s">
        <v>58</v>
      </c>
      <c r="C12" s="15">
        <v>200</v>
      </c>
    </row>
    <row r="13" spans="1:3" ht="14.5" x14ac:dyDescent="0.35">
      <c r="A13" s="30">
        <v>44928</v>
      </c>
      <c r="B13" s="15" t="s">
        <v>59</v>
      </c>
      <c r="C13" s="15" t="e">
        <v>#N/A</v>
      </c>
    </row>
    <row r="14" spans="1:3" ht="14.5" x14ac:dyDescent="0.35">
      <c r="A14" s="30">
        <v>44929</v>
      </c>
      <c r="B14" s="15" t="s">
        <v>60</v>
      </c>
      <c r="C14" s="15">
        <v>50</v>
      </c>
    </row>
    <row r="15" spans="1:3" ht="14.5" x14ac:dyDescent="0.35">
      <c r="A15" s="30">
        <v>44930</v>
      </c>
      <c r="B15" s="15" t="s">
        <v>61</v>
      </c>
      <c r="C15" s="15" t="e">
        <v>#N/A</v>
      </c>
    </row>
    <row r="16" spans="1:3" ht="14.5" x14ac:dyDescent="0.35">
      <c r="A16" s="30">
        <v>44931</v>
      </c>
      <c r="B16" s="15" t="s">
        <v>62</v>
      </c>
      <c r="C16" s="15">
        <v>10</v>
      </c>
    </row>
    <row r="17" spans="1:3" ht="14.5" x14ac:dyDescent="0.35">
      <c r="A17" s="30">
        <v>44932</v>
      </c>
      <c r="B17" s="15" t="s">
        <v>153</v>
      </c>
      <c r="C17" s="15">
        <v>150</v>
      </c>
    </row>
    <row r="18" spans="1:3" ht="14.5" x14ac:dyDescent="0.35">
      <c r="A18" s="30">
        <v>44933</v>
      </c>
      <c r="B18" s="15" t="s">
        <v>154</v>
      </c>
      <c r="C18" s="15">
        <v>80</v>
      </c>
    </row>
    <row r="19" spans="1:3" ht="14.5" x14ac:dyDescent="0.35">
      <c r="A19" s="30">
        <v>44934</v>
      </c>
      <c r="B19" s="15" t="s">
        <v>155</v>
      </c>
      <c r="C19" s="15" t="e">
        <v>#N/A</v>
      </c>
    </row>
    <row r="20" spans="1:3" ht="14.5" x14ac:dyDescent="0.35">
      <c r="A20" s="30">
        <v>44935</v>
      </c>
      <c r="B20" s="15" t="s">
        <v>156</v>
      </c>
      <c r="C20" s="15">
        <v>30</v>
      </c>
    </row>
    <row r="21" spans="1:3" ht="14.5" x14ac:dyDescent="0.35">
      <c r="A21" s="30">
        <v>44936</v>
      </c>
      <c r="B21" s="15" t="s">
        <v>157</v>
      </c>
      <c r="C21" s="15" t="e">
        <v>#N/A</v>
      </c>
    </row>
    <row r="22" spans="1:3" ht="14.5" x14ac:dyDescent="0.35">
      <c r="B22" s="15" t="s">
        <v>158</v>
      </c>
      <c r="C22" s="23" cm="1">
        <f t="array" ref="C22">SUM(IF(ISNA(C12:C21), 20, C12:C21))</f>
        <v>600</v>
      </c>
    </row>
    <row r="24" spans="1:3" ht="169" x14ac:dyDescent="0.3">
      <c r="A24" s="48" t="s">
        <v>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8"/>
  <sheetViews>
    <sheetView topLeftCell="A8" zoomScaleNormal="100" workbookViewId="0">
      <selection activeCell="F27" sqref="F2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97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52</v>
      </c>
      <c r="B4" s="1"/>
    </row>
    <row r="5" spans="1:14" ht="18.5" x14ac:dyDescent="0.45">
      <c r="A5" s="41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6" t="s">
        <v>161</v>
      </c>
      <c r="M8" s="16" t="s">
        <v>162</v>
      </c>
    </row>
    <row r="9" spans="1:14" ht="14.5" x14ac:dyDescent="0.35">
      <c r="A9" s="24"/>
      <c r="B9" s="24" t="s">
        <v>88</v>
      </c>
      <c r="C9" s="24" t="s">
        <v>89</v>
      </c>
      <c r="D9" s="24" t="s">
        <v>90</v>
      </c>
      <c r="E9" s="24" t="s">
        <v>91</v>
      </c>
      <c r="F9" s="24" t="s">
        <v>92</v>
      </c>
      <c r="G9" s="24" t="s">
        <v>93</v>
      </c>
      <c r="H9" s="24" t="s">
        <v>94</v>
      </c>
      <c r="I9" s="24" t="s">
        <v>95</v>
      </c>
      <c r="J9" s="24" t="s">
        <v>96</v>
      </c>
      <c r="M9" s="17" t="s">
        <v>43</v>
      </c>
      <c r="N9" s="17" t="s">
        <v>98</v>
      </c>
    </row>
    <row r="10" spans="1:14" ht="14.5" x14ac:dyDescent="0.35">
      <c r="A10" s="24" t="s">
        <v>88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88</v>
      </c>
    </row>
    <row r="11" spans="1:14" ht="14.5" x14ac:dyDescent="0.35">
      <c r="A11" s="24" t="s">
        <v>89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89</v>
      </c>
    </row>
    <row r="12" spans="1:14" ht="14.5" x14ac:dyDescent="0.35">
      <c r="A12" s="24" t="s">
        <v>90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90</v>
      </c>
    </row>
    <row r="13" spans="1:14" ht="14.5" x14ac:dyDescent="0.35">
      <c r="A13" s="24" t="s">
        <v>91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91</v>
      </c>
    </row>
    <row r="14" spans="1:14" ht="14.5" x14ac:dyDescent="0.35">
      <c r="A14" s="24" t="s">
        <v>92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92</v>
      </c>
    </row>
    <row r="15" spans="1:14" ht="14.5" x14ac:dyDescent="0.35">
      <c r="A15" s="24" t="s">
        <v>93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93</v>
      </c>
    </row>
    <row r="16" spans="1:14" ht="14.5" x14ac:dyDescent="0.35">
      <c r="A16" s="24" t="s">
        <v>94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94</v>
      </c>
    </row>
    <row r="17" spans="1:14" ht="14.5" x14ac:dyDescent="0.35">
      <c r="A17" s="24" t="s">
        <v>95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95</v>
      </c>
    </row>
    <row r="18" spans="1:14" ht="14.5" x14ac:dyDescent="0.35">
      <c r="A18" s="24" t="s">
        <v>96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96</v>
      </c>
    </row>
    <row r="21" spans="1:14" ht="23.5" x14ac:dyDescent="0.55000000000000004">
      <c r="A21" s="16" t="s">
        <v>167</v>
      </c>
    </row>
    <row r="22" spans="1:14" ht="14.5" x14ac:dyDescent="0.35">
      <c r="A22" s="13" t="s">
        <v>99</v>
      </c>
      <c r="B22" s="15" t="s">
        <v>100</v>
      </c>
      <c r="C22" s="14" t="s">
        <v>101</v>
      </c>
    </row>
    <row r="23" spans="1:14" ht="14.5" x14ac:dyDescent="0.35">
      <c r="A23" s="7">
        <v>10100</v>
      </c>
      <c r="B23" s="11">
        <v>10102</v>
      </c>
      <c r="C23" s="42">
        <f>INDEX($B$10:$J$18,MATCH(VLOOKUP($B23,$M$10:$N$18,2,0),$A$10:$A$18,0),MATCH(VLOOKUP($A23,$M$10:$N$18,2,0),$B$9:$J$9,0))</f>
        <v>95</v>
      </c>
    </row>
    <row r="24" spans="1:14" ht="14.5" x14ac:dyDescent="0.35">
      <c r="A24" s="7">
        <v>10100</v>
      </c>
      <c r="B24" s="11">
        <v>10104</v>
      </c>
      <c r="C24" s="42">
        <f t="shared" ref="C24:C35" si="0">INDEX($B$10:$J$18,MATCH(VLOOKUP($B24,$M$10:$N$18,2,0),$A$10:$A$18,0),MATCH(VLOOKUP($A24,$M$10:$N$18,2,0),$B$9:$J$9,0))</f>
        <v>-1</v>
      </c>
    </row>
    <row r="25" spans="1:14" ht="14.5" x14ac:dyDescent="0.35">
      <c r="A25" s="7">
        <v>10108</v>
      </c>
      <c r="B25" s="11">
        <v>10102</v>
      </c>
      <c r="C25" s="42">
        <f t="shared" si="0"/>
        <v>160</v>
      </c>
    </row>
    <row r="26" spans="1:14" ht="14.5" x14ac:dyDescent="0.35">
      <c r="A26" s="7">
        <v>10100</v>
      </c>
      <c r="B26" s="11">
        <v>10106</v>
      </c>
      <c r="C26" s="42">
        <f t="shared" si="0"/>
        <v>185</v>
      </c>
    </row>
    <row r="27" spans="1:14" ht="14.5" x14ac:dyDescent="0.35">
      <c r="A27" s="7">
        <v>10108</v>
      </c>
      <c r="B27" s="11">
        <v>10110</v>
      </c>
      <c r="C27" s="42">
        <f t="shared" si="0"/>
        <v>50</v>
      </c>
    </row>
    <row r="28" spans="1:14" ht="14.5" x14ac:dyDescent="0.35">
      <c r="A28" s="7">
        <v>10102</v>
      </c>
      <c r="B28" s="11">
        <v>10104</v>
      </c>
      <c r="C28" s="42">
        <f t="shared" si="0"/>
        <v>-1</v>
      </c>
    </row>
    <row r="29" spans="1:14" ht="14.5" x14ac:dyDescent="0.35">
      <c r="A29" s="7">
        <v>10106</v>
      </c>
      <c r="B29" s="11">
        <v>10108</v>
      </c>
      <c r="C29" s="42">
        <f t="shared" si="0"/>
        <v>70</v>
      </c>
    </row>
    <row r="30" spans="1:14" ht="14.5" x14ac:dyDescent="0.35">
      <c r="A30" s="7">
        <v>10102</v>
      </c>
      <c r="B30" s="11">
        <v>10106</v>
      </c>
      <c r="C30" s="42">
        <f t="shared" si="0"/>
        <v>90</v>
      </c>
    </row>
    <row r="31" spans="1:14" ht="14.5" x14ac:dyDescent="0.35">
      <c r="A31" s="7">
        <v>10110</v>
      </c>
      <c r="B31" s="11">
        <v>10114</v>
      </c>
      <c r="C31" s="42">
        <f t="shared" si="0"/>
        <v>180</v>
      </c>
    </row>
    <row r="32" spans="1:14" ht="14.5" x14ac:dyDescent="0.35">
      <c r="A32" s="7">
        <v>10104</v>
      </c>
      <c r="B32" s="11">
        <v>10106</v>
      </c>
      <c r="C32" s="42">
        <f t="shared" si="0"/>
        <v>60</v>
      </c>
    </row>
    <row r="33" spans="1:3" ht="14.5" x14ac:dyDescent="0.35">
      <c r="A33" s="7">
        <v>10110</v>
      </c>
      <c r="B33" s="11">
        <v>10112</v>
      </c>
      <c r="C33" s="42">
        <f t="shared" si="0"/>
        <v>115</v>
      </c>
    </row>
    <row r="34" spans="1:3" ht="14.5" x14ac:dyDescent="0.35">
      <c r="A34" s="7">
        <v>10100</v>
      </c>
      <c r="B34" s="11">
        <v>10114</v>
      </c>
      <c r="C34" s="42">
        <f t="shared" si="0"/>
        <v>480</v>
      </c>
    </row>
    <row r="35" spans="1:3" ht="14.5" x14ac:dyDescent="0.35">
      <c r="A35" s="8">
        <v>10112</v>
      </c>
      <c r="B35" s="12">
        <v>10116</v>
      </c>
      <c r="C35" s="42">
        <f t="shared" si="0"/>
        <v>105</v>
      </c>
    </row>
    <row r="38" spans="1:3" x14ac:dyDescent="0.3">
      <c r="A38" s="2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Riya Talukder</cp:lastModifiedBy>
  <dcterms:created xsi:type="dcterms:W3CDTF">2015-02-10T17:33:11Z</dcterms:created>
  <dcterms:modified xsi:type="dcterms:W3CDTF">2023-12-10T18:03:38Z</dcterms:modified>
</cp:coreProperties>
</file>